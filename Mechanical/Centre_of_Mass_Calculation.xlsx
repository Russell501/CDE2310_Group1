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usse\OneDrive\Desktop\NUS\Y1S2\CDE2310\"/>
    </mc:Choice>
  </mc:AlternateContent>
  <xr:revisionPtr revIDLastSave="0" documentId="13_ncr:1_{6C578C73-2016-493B-A9F5-2E00CADE7A3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ss &amp; CG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G38" i="1"/>
  <c r="F38" i="1"/>
  <c r="D38" i="1"/>
  <c r="C38" i="1"/>
  <c r="E37" i="1"/>
  <c r="K37" i="1" s="1"/>
  <c r="E36" i="1"/>
  <c r="K36" i="1" s="1"/>
  <c r="E35" i="1"/>
  <c r="K35" i="1" s="1"/>
  <c r="E34" i="1"/>
  <c r="K34" i="1" s="1"/>
  <c r="E33" i="1"/>
  <c r="K33" i="1" s="1"/>
  <c r="E32" i="1"/>
  <c r="K32" i="1" s="1"/>
  <c r="E31" i="1"/>
  <c r="K30" i="1"/>
  <c r="J30" i="1"/>
  <c r="E30" i="1"/>
  <c r="I30" i="1" s="1"/>
  <c r="E29" i="1"/>
  <c r="K29" i="1" s="1"/>
  <c r="E28" i="1"/>
  <c r="K28" i="1" s="1"/>
  <c r="E27" i="1"/>
  <c r="K27" i="1" s="1"/>
  <c r="E26" i="1"/>
  <c r="K26" i="1" s="1"/>
  <c r="J25" i="1"/>
  <c r="E25" i="1"/>
  <c r="K25" i="1" s="1"/>
  <c r="E24" i="1"/>
  <c r="K24" i="1" s="1"/>
  <c r="E23" i="1"/>
  <c r="K23" i="1" s="1"/>
  <c r="E22" i="1"/>
  <c r="K22" i="1" s="1"/>
  <c r="E21" i="1"/>
  <c r="K21" i="1" s="1"/>
  <c r="E20" i="1"/>
  <c r="K19" i="1"/>
  <c r="J19" i="1"/>
  <c r="E19" i="1"/>
  <c r="I19" i="1" s="1"/>
  <c r="E18" i="1"/>
  <c r="K18" i="1" s="1"/>
  <c r="E17" i="1"/>
  <c r="K17" i="1" s="1"/>
  <c r="E16" i="1"/>
  <c r="K16" i="1" s="1"/>
  <c r="E15" i="1"/>
  <c r="K15" i="1" s="1"/>
  <c r="E14" i="1"/>
  <c r="K14" i="1" s="1"/>
  <c r="E13" i="1"/>
  <c r="K13" i="1" s="1"/>
  <c r="E12" i="1"/>
  <c r="K12" i="1" s="1"/>
  <c r="E11" i="1"/>
  <c r="K11" i="1" s="1"/>
  <c r="E10" i="1"/>
  <c r="K10" i="1" s="1"/>
  <c r="E9" i="1"/>
  <c r="K8" i="1"/>
  <c r="J8" i="1"/>
  <c r="E8" i="1"/>
  <c r="I8" i="1" s="1"/>
  <c r="E7" i="1"/>
  <c r="K7" i="1" s="1"/>
  <c r="I14" i="1" l="1"/>
  <c r="J14" i="1"/>
  <c r="K31" i="1"/>
  <c r="J31" i="1"/>
  <c r="I31" i="1"/>
  <c r="K20" i="1"/>
  <c r="J20" i="1"/>
  <c r="I20" i="1"/>
  <c r="I36" i="1"/>
  <c r="J36" i="1"/>
  <c r="E38" i="1"/>
  <c r="K9" i="1"/>
  <c r="K38" i="1" s="1"/>
  <c r="C45" i="1" s="1"/>
  <c r="J9" i="1"/>
  <c r="I9" i="1"/>
  <c r="I25" i="1"/>
  <c r="I15" i="1"/>
  <c r="I26" i="1"/>
  <c r="I37" i="1"/>
  <c r="J15" i="1"/>
  <c r="J26" i="1"/>
  <c r="J37" i="1"/>
  <c r="I10" i="1"/>
  <c r="I21" i="1"/>
  <c r="I32" i="1"/>
  <c r="J10" i="1"/>
  <c r="J21" i="1"/>
  <c r="J32" i="1"/>
  <c r="I16" i="1"/>
  <c r="I27" i="1"/>
  <c r="J16" i="1"/>
  <c r="J27" i="1"/>
  <c r="I11" i="1"/>
  <c r="I22" i="1"/>
  <c r="I33" i="1"/>
  <c r="J11" i="1"/>
  <c r="J22" i="1"/>
  <c r="J33" i="1"/>
  <c r="I17" i="1"/>
  <c r="I28" i="1"/>
  <c r="J17" i="1"/>
  <c r="J28" i="1"/>
  <c r="I12" i="1"/>
  <c r="I23" i="1"/>
  <c r="I34" i="1"/>
  <c r="J12" i="1"/>
  <c r="J23" i="1"/>
  <c r="J34" i="1"/>
  <c r="I7" i="1"/>
  <c r="I18" i="1"/>
  <c r="I29" i="1"/>
  <c r="J7" i="1"/>
  <c r="J18" i="1"/>
  <c r="J29" i="1"/>
  <c r="I13" i="1"/>
  <c r="I24" i="1"/>
  <c r="I35" i="1"/>
  <c r="J13" i="1"/>
  <c r="J24" i="1"/>
  <c r="J35" i="1"/>
  <c r="C42" i="1" l="1"/>
  <c r="C41" i="1"/>
  <c r="J38" i="1"/>
  <c r="C44" i="1" s="1"/>
  <c r="I38" i="1"/>
  <c r="C43" i="1" s="1"/>
</calcChain>
</file>

<file path=xl/sharedStrings.xml><?xml version="1.0" encoding="utf-8"?>
<sst xmlns="http://schemas.openxmlformats.org/spreadsheetml/2006/main" count="58" uniqueCount="57">
  <si>
    <t>Group 1: Alexander Yaw Kai Mun (A0306763B), Shandrico (A0305761H), Russell (A0323035U), Moksh (A0305884W)</t>
  </si>
  <si>
    <t>TurtleBot3 Burger - Mass, CG &amp; MOI Estimation</t>
  </si>
  <si>
    <t>Origin: Centre of Ball Socket, at ground level. X = Back, Y = Up, Z = Left</t>
  </si>
  <si>
    <t>Dimensions: 138mm (L) x 178mm (W) x 192mm (H) | Includes Self-Made Payload (Ramp + Launcher + Camera)</t>
  </si>
  <si>
    <t>No.</t>
  </si>
  <si>
    <t>Part Name</t>
  </si>
  <si>
    <t>Qty</t>
  </si>
  <si>
    <t>Unit Mass (g)</t>
  </si>
  <si>
    <t>Total Mass (g)</t>
  </si>
  <si>
    <t>CG X (mm)</t>
  </si>
  <si>
    <t>CG Y (mm)</t>
  </si>
  <si>
    <t>CG Z (mm)</t>
  </si>
  <si>
    <t>Mass*X (g.mm)</t>
  </si>
  <si>
    <t>Mass*Y (g.mm)</t>
  </si>
  <si>
    <t>Mass*Z (g.mm)</t>
  </si>
  <si>
    <t>Top View</t>
  </si>
  <si>
    <t>Rear View</t>
  </si>
  <si>
    <t>Waffle Plate (Layer 1 - Base) with fasteners</t>
  </si>
  <si>
    <t>Waffle Plate (Layer 2) with fasteners</t>
  </si>
  <si>
    <t>Waffle Plate (Layer 3) with fasteners</t>
  </si>
  <si>
    <t>Waffle Plate (Layer 4 - Top) fasteners</t>
  </si>
  <si>
    <t>Dynamixel XL430-W250 (Left Motor)</t>
  </si>
  <si>
    <t>Dynamixel XL430-W250 (Right Motor)</t>
  </si>
  <si>
    <t>Wheel + Tire (Left)</t>
  </si>
  <si>
    <t>Wheel + Tire (Right)</t>
  </si>
  <si>
    <t>Ball Caster Assembly</t>
  </si>
  <si>
    <t>OpenCR 1.0 Board</t>
  </si>
  <si>
    <t>Raspberry Pi 4</t>
  </si>
  <si>
    <t>LDS-02 LiDAR Sensor</t>
  </si>
  <si>
    <t>Li-Po Battery (11.1V 1800mAh)</t>
  </si>
  <si>
    <t>USB2LDS Board</t>
  </si>
  <si>
    <t>PLA Ball Storage (3D Printed)</t>
  </si>
  <si>
    <t>Flywheel, Servo, RPi Housing (3D Printed PLA)</t>
  </si>
  <si>
    <t>Left RC-300 DC Motor 1.5 - 6.5 V</t>
  </si>
  <si>
    <t>Right RC-300 DC Motor</t>
  </si>
  <si>
    <t>SG90 Servo Motor (Ball Feed)</t>
  </si>
  <si>
    <t>RPi Camera Module V2</t>
  </si>
  <si>
    <t>Flywheel Left</t>
  </si>
  <si>
    <t>Left View</t>
  </si>
  <si>
    <t>Right View</t>
  </si>
  <si>
    <t>Flywheel Right</t>
  </si>
  <si>
    <t>Pingpong Ball 1</t>
  </si>
  <si>
    <t>Pingpong Ball 2</t>
  </si>
  <si>
    <t>Pingpong Ball 3</t>
  </si>
  <si>
    <t>Pingpong Ball 4</t>
  </si>
  <si>
    <t>Pingpong Ball 5</t>
  </si>
  <si>
    <t>Pingpong Ball 6</t>
  </si>
  <si>
    <t>Pingpong Ball 7</t>
  </si>
  <si>
    <t>Pingpong Ball 8</t>
  </si>
  <si>
    <t>Pingpong Ball 9</t>
  </si>
  <si>
    <t>TOTALS</t>
  </si>
  <si>
    <t>SYSTEM CENTRE OF GRAVITY</t>
  </si>
  <si>
    <t>Total Mass (kg)</t>
  </si>
  <si>
    <t>System CG X (mm)</t>
  </si>
  <si>
    <t>System CG Y (mm)</t>
  </si>
  <si>
    <t>System CG Z (mm)</t>
  </si>
  <si>
    <t>Location of Origin (Center of Ball Caster)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</si>
</sst>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2" x14ac:knownFonts="1">
    <font>
      <sz val="11"/>
      <color theme="1"/>
      <name val="Arial"/>
      <scheme val="minor"/>
    </font>
    <font>
      <b/>
      <sz val="12"/>
      <color theme="1"/>
      <name val="Arial"/>
    </font>
    <font>
      <b/>
      <sz val="14"/>
      <color theme="1"/>
      <name val="Arial"/>
    </font>
    <font>
      <sz val="11"/>
      <color theme="1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0000FF"/>
      <name val="Arial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Arial"/>
      <scheme val="minor"/>
    </font>
    <font>
      <b/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wrapText="1"/>
    </xf>
    <xf numFmtId="1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left"/>
    </xf>
    <xf numFmtId="1" fontId="7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left"/>
    </xf>
    <xf numFmtId="2" fontId="8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10" fillId="0" borderId="0" xfId="0" applyFont="1"/>
    <xf numFmtId="2" fontId="9" fillId="0" borderId="1" xfId="0" applyNumberFormat="1" applyFont="1" applyBorder="1" applyAlignment="1">
      <alignment horizontal="center"/>
    </xf>
    <xf numFmtId="1" fontId="9" fillId="3" borderId="1" xfId="0" applyNumberFormat="1" applyFont="1" applyFill="1" applyBorder="1" applyAlignment="1">
      <alignment horizontal="center"/>
    </xf>
    <xf numFmtId="1" fontId="9" fillId="3" borderId="1" xfId="0" applyNumberFormat="1" applyFont="1" applyFill="1" applyBorder="1" applyAlignment="1">
      <alignment horizontal="left"/>
    </xf>
    <xf numFmtId="2" fontId="9" fillId="3" borderId="1" xfId="0" applyNumberFormat="1" applyFont="1" applyFill="1" applyBorder="1" applyAlignment="1">
      <alignment horizontal="center"/>
    </xf>
    <xf numFmtId="0" fontId="9" fillId="4" borderId="2" xfId="0" applyFont="1" applyFill="1" applyBorder="1" applyAlignment="1">
      <alignment horizontal="left"/>
    </xf>
    <xf numFmtId="1" fontId="9" fillId="4" borderId="1" xfId="0" applyNumberFormat="1" applyFont="1" applyFill="1" applyBorder="1"/>
    <xf numFmtId="164" fontId="9" fillId="4" borderId="1" xfId="0" applyNumberFormat="1" applyFont="1" applyFill="1" applyBorder="1"/>
    <xf numFmtId="165" fontId="9" fillId="4" borderId="1" xfId="0" applyNumberFormat="1" applyFont="1" applyFill="1" applyBorder="1"/>
    <xf numFmtId="0" fontId="11" fillId="0" borderId="0" xfId="0" applyFont="1"/>
    <xf numFmtId="0" fontId="2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48</xdr:row>
      <xdr:rowOff>104775</xdr:rowOff>
    </xdr:from>
    <xdr:ext cx="4876800" cy="43243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685800</xdr:colOff>
      <xdr:row>5</xdr:row>
      <xdr:rowOff>323850</xdr:rowOff>
    </xdr:from>
    <xdr:ext cx="3800475" cy="37433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200025</xdr:colOff>
      <xdr:row>5</xdr:row>
      <xdr:rowOff>323850</xdr:rowOff>
    </xdr:from>
    <xdr:ext cx="4876800" cy="3248025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962025</xdr:colOff>
      <xdr:row>27</xdr:row>
      <xdr:rowOff>209550</xdr:rowOff>
    </xdr:from>
    <xdr:ext cx="4248150" cy="3086100"/>
    <xdr:pic>
      <xdr:nvPicPr>
        <xdr:cNvPr id="5" name="image5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936625</xdr:colOff>
      <xdr:row>29</xdr:row>
      <xdr:rowOff>161925</xdr:rowOff>
    </xdr:from>
    <xdr:ext cx="4029075" cy="3086100"/>
    <xdr:pic>
      <xdr:nvPicPr>
        <xdr:cNvPr id="6" name="image3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506825" y="5921375"/>
          <a:ext cx="4029075" cy="3086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9"/>
  <sheetViews>
    <sheetView tabSelected="1" topLeftCell="H10" workbookViewId="0">
      <selection activeCell="W30" sqref="W30"/>
    </sheetView>
  </sheetViews>
  <sheetFormatPr defaultColWidth="12.6640625" defaultRowHeight="15" customHeight="1" x14ac:dyDescent="0.3"/>
  <cols>
    <col min="1" max="1" width="4.4140625" customWidth="1"/>
    <col min="2" max="2" width="34.9140625" customWidth="1"/>
    <col min="3" max="3" width="5.6640625" customWidth="1"/>
    <col min="4" max="4" width="15.5" customWidth="1"/>
    <col min="5" max="5" width="12.25" customWidth="1"/>
    <col min="6" max="8" width="10.5" customWidth="1"/>
    <col min="9" max="11" width="12.25" customWidth="1"/>
  </cols>
  <sheetData>
    <row r="1" spans="1:26" ht="17.2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7.25" customHeight="1" x14ac:dyDescent="0.4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3">
      <c r="A3" s="26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3">
      <c r="A4" s="26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6.25" customHeight="1" x14ac:dyDescent="0.3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3"/>
      <c r="M6" s="3" t="s">
        <v>15</v>
      </c>
      <c r="N6" s="3"/>
      <c r="O6" s="3"/>
      <c r="P6" s="3"/>
      <c r="Q6" s="3"/>
      <c r="R6" s="3" t="s">
        <v>16</v>
      </c>
      <c r="S6" s="3"/>
      <c r="T6" s="3"/>
      <c r="U6" s="3"/>
      <c r="V6" s="3"/>
      <c r="W6" s="3"/>
      <c r="X6" s="3"/>
      <c r="Y6" s="3"/>
      <c r="Z6" s="3"/>
    </row>
    <row r="7" spans="1:26" ht="15" customHeight="1" x14ac:dyDescent="0.3">
      <c r="A7" s="5">
        <v>1</v>
      </c>
      <c r="B7" s="6" t="s">
        <v>17</v>
      </c>
      <c r="C7" s="7">
        <v>1</v>
      </c>
      <c r="D7" s="8">
        <v>138.12</v>
      </c>
      <c r="E7" s="9">
        <f t="shared" ref="E7:E37" si="0">C7*D7</f>
        <v>138.12</v>
      </c>
      <c r="F7" s="8">
        <v>-49</v>
      </c>
      <c r="G7" s="8">
        <v>11.12</v>
      </c>
      <c r="H7" s="8">
        <v>0</v>
      </c>
      <c r="I7" s="9">
        <f t="shared" ref="I7:I37" si="1">E7*F7</f>
        <v>-6767.88</v>
      </c>
      <c r="J7" s="9">
        <f t="shared" ref="J7:J37" si="2">E7*G7</f>
        <v>1535.8943999999999</v>
      </c>
      <c r="K7" s="9">
        <f t="shared" ref="K7:K37" si="3">E7*H7</f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3">
      <c r="A8" s="5">
        <v>2</v>
      </c>
      <c r="B8" s="6" t="s">
        <v>18</v>
      </c>
      <c r="C8" s="7">
        <v>1</v>
      </c>
      <c r="D8" s="8">
        <v>138.12</v>
      </c>
      <c r="E8" s="9">
        <f t="shared" si="0"/>
        <v>138.12</v>
      </c>
      <c r="F8" s="8">
        <v>-49</v>
      </c>
      <c r="G8" s="8">
        <v>48.44</v>
      </c>
      <c r="H8" s="8">
        <v>0</v>
      </c>
      <c r="I8" s="9">
        <f t="shared" si="1"/>
        <v>-6767.88</v>
      </c>
      <c r="J8" s="9">
        <f t="shared" si="2"/>
        <v>6690.5328</v>
      </c>
      <c r="K8" s="9">
        <f t="shared" si="3"/>
        <v>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3">
      <c r="A9" s="5">
        <v>3</v>
      </c>
      <c r="B9" s="6" t="s">
        <v>19</v>
      </c>
      <c r="C9" s="7">
        <v>1</v>
      </c>
      <c r="D9" s="8">
        <v>138.12</v>
      </c>
      <c r="E9" s="9">
        <f t="shared" si="0"/>
        <v>138.12</v>
      </c>
      <c r="F9" s="8">
        <v>-49</v>
      </c>
      <c r="G9" s="8">
        <v>95.22</v>
      </c>
      <c r="H9" s="8">
        <v>0</v>
      </c>
      <c r="I9" s="9">
        <f t="shared" si="1"/>
        <v>-6767.88</v>
      </c>
      <c r="J9" s="9">
        <f t="shared" si="2"/>
        <v>13151.786400000001</v>
      </c>
      <c r="K9" s="9">
        <f t="shared" si="3"/>
        <v>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3">
      <c r="A10" s="5">
        <v>4</v>
      </c>
      <c r="B10" s="6" t="s">
        <v>20</v>
      </c>
      <c r="C10" s="7">
        <v>1</v>
      </c>
      <c r="D10" s="8">
        <v>138.12</v>
      </c>
      <c r="E10" s="9">
        <f t="shared" si="0"/>
        <v>138.12</v>
      </c>
      <c r="F10" s="8">
        <v>-49</v>
      </c>
      <c r="G10" s="8">
        <v>142.02000000000001</v>
      </c>
      <c r="H10" s="8">
        <v>0</v>
      </c>
      <c r="I10" s="9">
        <f t="shared" si="1"/>
        <v>-6767.88</v>
      </c>
      <c r="J10" s="9">
        <f t="shared" si="2"/>
        <v>19615.8024</v>
      </c>
      <c r="K10" s="9">
        <f t="shared" si="3"/>
        <v>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3">
      <c r="A11" s="5">
        <v>5</v>
      </c>
      <c r="B11" s="6" t="s">
        <v>21</v>
      </c>
      <c r="C11" s="7">
        <v>1</v>
      </c>
      <c r="D11" s="8">
        <v>16</v>
      </c>
      <c r="E11" s="9">
        <f t="shared" si="0"/>
        <v>16</v>
      </c>
      <c r="F11" s="8">
        <v>-69</v>
      </c>
      <c r="G11" s="8">
        <v>29.08</v>
      </c>
      <c r="H11" s="8">
        <v>52.67</v>
      </c>
      <c r="I11" s="9">
        <f t="shared" si="1"/>
        <v>-1104</v>
      </c>
      <c r="J11" s="9">
        <f t="shared" si="2"/>
        <v>465.28</v>
      </c>
      <c r="K11" s="9">
        <f t="shared" si="3"/>
        <v>842.72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3">
      <c r="A12" s="5">
        <v>6</v>
      </c>
      <c r="B12" s="6" t="s">
        <v>22</v>
      </c>
      <c r="C12" s="7">
        <v>1</v>
      </c>
      <c r="D12" s="8">
        <v>16</v>
      </c>
      <c r="E12" s="9">
        <f t="shared" si="0"/>
        <v>16</v>
      </c>
      <c r="F12" s="8">
        <v>-69</v>
      </c>
      <c r="G12" s="8">
        <v>28.54</v>
      </c>
      <c r="H12" s="8">
        <v>-52.67</v>
      </c>
      <c r="I12" s="9">
        <f t="shared" si="1"/>
        <v>-1104</v>
      </c>
      <c r="J12" s="9">
        <f t="shared" si="2"/>
        <v>456.64</v>
      </c>
      <c r="K12" s="9">
        <f t="shared" si="3"/>
        <v>-842.72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3">
      <c r="A13" s="5">
        <v>7</v>
      </c>
      <c r="B13" s="6" t="s">
        <v>23</v>
      </c>
      <c r="C13" s="7">
        <v>1</v>
      </c>
      <c r="D13" s="8">
        <v>29.88</v>
      </c>
      <c r="E13" s="9">
        <f t="shared" si="0"/>
        <v>29.88</v>
      </c>
      <c r="F13" s="8">
        <v>-81</v>
      </c>
      <c r="G13" s="8">
        <v>28.81</v>
      </c>
      <c r="H13" s="8">
        <v>78.62</v>
      </c>
      <c r="I13" s="9">
        <f t="shared" si="1"/>
        <v>-2420.2799999999997</v>
      </c>
      <c r="J13" s="9">
        <f t="shared" si="2"/>
        <v>860.8427999999999</v>
      </c>
      <c r="K13" s="9">
        <f t="shared" si="3"/>
        <v>2349.1656000000003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3">
      <c r="A14" s="5">
        <v>8</v>
      </c>
      <c r="B14" s="6" t="s">
        <v>24</v>
      </c>
      <c r="C14" s="7">
        <v>1</v>
      </c>
      <c r="D14" s="8">
        <v>29.88</v>
      </c>
      <c r="E14" s="9">
        <f t="shared" si="0"/>
        <v>29.88</v>
      </c>
      <c r="F14" s="8">
        <v>-81</v>
      </c>
      <c r="G14" s="8">
        <v>28.81</v>
      </c>
      <c r="H14" s="8">
        <v>-78.62</v>
      </c>
      <c r="I14" s="9">
        <f t="shared" si="1"/>
        <v>-2420.2799999999997</v>
      </c>
      <c r="J14" s="9">
        <f t="shared" si="2"/>
        <v>860.8427999999999</v>
      </c>
      <c r="K14" s="9">
        <f t="shared" si="3"/>
        <v>-2349.1656000000003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3">
      <c r="A15" s="5">
        <v>9</v>
      </c>
      <c r="B15" s="6" t="s">
        <v>25</v>
      </c>
      <c r="C15" s="7">
        <v>1</v>
      </c>
      <c r="D15" s="8">
        <v>1.44</v>
      </c>
      <c r="E15" s="9">
        <f t="shared" si="0"/>
        <v>1.44</v>
      </c>
      <c r="F15" s="8">
        <v>0</v>
      </c>
      <c r="G15" s="8">
        <v>2.19</v>
      </c>
      <c r="H15" s="8">
        <v>0</v>
      </c>
      <c r="I15" s="9">
        <f t="shared" si="1"/>
        <v>0</v>
      </c>
      <c r="J15" s="9">
        <f t="shared" si="2"/>
        <v>3.1536</v>
      </c>
      <c r="K15" s="9">
        <f t="shared" si="3"/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3">
      <c r="A16" s="5">
        <v>10</v>
      </c>
      <c r="B16" s="6" t="s">
        <v>26</v>
      </c>
      <c r="C16" s="7">
        <v>1</v>
      </c>
      <c r="D16" s="8">
        <v>64</v>
      </c>
      <c r="E16" s="9">
        <f t="shared" si="0"/>
        <v>64</v>
      </c>
      <c r="F16" s="8">
        <v>-55.61</v>
      </c>
      <c r="G16" s="8">
        <v>64.69</v>
      </c>
      <c r="H16" s="8">
        <v>1.41</v>
      </c>
      <c r="I16" s="9">
        <f t="shared" si="1"/>
        <v>-3559.04</v>
      </c>
      <c r="J16" s="9">
        <f t="shared" si="2"/>
        <v>4140.16</v>
      </c>
      <c r="K16" s="9">
        <f t="shared" si="3"/>
        <v>90.24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3">
      <c r="A17" s="5">
        <v>11</v>
      </c>
      <c r="B17" s="6" t="s">
        <v>27</v>
      </c>
      <c r="C17" s="7">
        <v>1</v>
      </c>
      <c r="D17" s="8">
        <v>47</v>
      </c>
      <c r="E17" s="9">
        <f t="shared" si="0"/>
        <v>47</v>
      </c>
      <c r="F17" s="8">
        <v>4</v>
      </c>
      <c r="G17" s="8">
        <v>3</v>
      </c>
      <c r="H17" s="8">
        <v>96</v>
      </c>
      <c r="I17" s="9">
        <f t="shared" si="1"/>
        <v>188</v>
      </c>
      <c r="J17" s="9">
        <f t="shared" si="2"/>
        <v>141</v>
      </c>
      <c r="K17" s="9">
        <f t="shared" si="3"/>
        <v>4512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">
      <c r="A18" s="5">
        <v>12</v>
      </c>
      <c r="B18" s="6" t="s">
        <v>28</v>
      </c>
      <c r="C18" s="7">
        <v>1</v>
      </c>
      <c r="D18" s="8">
        <v>53</v>
      </c>
      <c r="E18" s="9">
        <f t="shared" si="0"/>
        <v>53</v>
      </c>
      <c r="F18" s="8">
        <v>-54.2</v>
      </c>
      <c r="G18" s="8">
        <v>153.35</v>
      </c>
      <c r="H18" s="8">
        <v>0</v>
      </c>
      <c r="I18" s="9">
        <f t="shared" si="1"/>
        <v>-2872.6000000000004</v>
      </c>
      <c r="J18" s="9">
        <f t="shared" si="2"/>
        <v>8127.5499999999993</v>
      </c>
      <c r="K18" s="9">
        <f t="shared" si="3"/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">
      <c r="A19" s="5">
        <v>13</v>
      </c>
      <c r="B19" s="6" t="s">
        <v>29</v>
      </c>
      <c r="C19" s="7">
        <v>1</v>
      </c>
      <c r="D19" s="8">
        <v>84.03</v>
      </c>
      <c r="E19" s="9">
        <f t="shared" si="0"/>
        <v>84.03</v>
      </c>
      <c r="F19" s="8">
        <v>-45.66</v>
      </c>
      <c r="G19" s="8">
        <v>28.11</v>
      </c>
      <c r="H19" s="8">
        <v>0</v>
      </c>
      <c r="I19" s="9">
        <f t="shared" si="1"/>
        <v>-3836.8097999999995</v>
      </c>
      <c r="J19" s="9">
        <f t="shared" si="2"/>
        <v>2362.0832999999998</v>
      </c>
      <c r="K19" s="9">
        <f t="shared" si="3"/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">
      <c r="A20" s="5">
        <v>14</v>
      </c>
      <c r="B20" s="6" t="s">
        <v>30</v>
      </c>
      <c r="C20" s="7">
        <v>1</v>
      </c>
      <c r="D20" s="8">
        <v>2.65</v>
      </c>
      <c r="E20" s="9">
        <f t="shared" si="0"/>
        <v>2.65</v>
      </c>
      <c r="F20" s="8">
        <v>-64.02</v>
      </c>
      <c r="G20" s="8">
        <v>99.39</v>
      </c>
      <c r="H20" s="8">
        <v>1.77</v>
      </c>
      <c r="I20" s="9">
        <f t="shared" si="1"/>
        <v>-169.65299999999999</v>
      </c>
      <c r="J20" s="9">
        <f t="shared" si="2"/>
        <v>263.38349999999997</v>
      </c>
      <c r="K20" s="9">
        <f t="shared" si="3"/>
        <v>4.6905000000000001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5">
      <c r="A21" s="10">
        <v>15</v>
      </c>
      <c r="B21" s="11" t="s">
        <v>31</v>
      </c>
      <c r="C21" s="10">
        <v>1</v>
      </c>
      <c r="D21" s="12">
        <v>245.3</v>
      </c>
      <c r="E21" s="12">
        <f t="shared" si="0"/>
        <v>245.3</v>
      </c>
      <c r="F21" s="12">
        <v>-0.01</v>
      </c>
      <c r="G21" s="12">
        <v>106.09</v>
      </c>
      <c r="H21" s="12">
        <v>-12.77</v>
      </c>
      <c r="I21" s="9">
        <f t="shared" si="1"/>
        <v>-2.4530000000000003</v>
      </c>
      <c r="J21" s="9">
        <f t="shared" si="2"/>
        <v>26023.877</v>
      </c>
      <c r="K21" s="9">
        <f t="shared" si="3"/>
        <v>-3132.4810000000002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5">
      <c r="A22" s="10">
        <v>16</v>
      </c>
      <c r="B22" s="11" t="s">
        <v>32</v>
      </c>
      <c r="C22" s="10">
        <v>1</v>
      </c>
      <c r="D22" s="12">
        <v>83.71</v>
      </c>
      <c r="E22" s="12">
        <f t="shared" si="0"/>
        <v>83.71</v>
      </c>
      <c r="F22" s="12">
        <v>-138.05000000000001</v>
      </c>
      <c r="G22" s="12">
        <v>108.05</v>
      </c>
      <c r="H22" s="12">
        <v>-102.73</v>
      </c>
      <c r="I22" s="9">
        <f t="shared" si="1"/>
        <v>-11556.165500000001</v>
      </c>
      <c r="J22" s="9">
        <f t="shared" si="2"/>
        <v>9044.8654999999999</v>
      </c>
      <c r="K22" s="9">
        <f t="shared" si="3"/>
        <v>-8599.5282999999999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5">
      <c r="A23" s="5">
        <v>17</v>
      </c>
      <c r="B23" s="11" t="s">
        <v>33</v>
      </c>
      <c r="C23" s="10">
        <v>1</v>
      </c>
      <c r="D23" s="12">
        <v>21</v>
      </c>
      <c r="E23" s="12">
        <f t="shared" si="0"/>
        <v>21</v>
      </c>
      <c r="F23" s="12">
        <v>-153.51</v>
      </c>
      <c r="G23" s="12">
        <v>130.56</v>
      </c>
      <c r="H23" s="12">
        <v>-60.5</v>
      </c>
      <c r="I23" s="9">
        <f t="shared" si="1"/>
        <v>-3223.71</v>
      </c>
      <c r="J23" s="9">
        <f t="shared" si="2"/>
        <v>2741.76</v>
      </c>
      <c r="K23" s="9">
        <f t="shared" si="3"/>
        <v>-1270.5</v>
      </c>
      <c r="L23" s="3"/>
      <c r="N23" s="3"/>
      <c r="O23" s="3"/>
      <c r="P23" s="3"/>
      <c r="Q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5">
      <c r="A24" s="5">
        <v>18</v>
      </c>
      <c r="B24" s="11" t="s">
        <v>34</v>
      </c>
      <c r="C24" s="10">
        <v>1</v>
      </c>
      <c r="D24" s="12">
        <v>21</v>
      </c>
      <c r="E24" s="12">
        <f t="shared" si="0"/>
        <v>21</v>
      </c>
      <c r="F24" s="12">
        <v>-153.51</v>
      </c>
      <c r="G24" s="12">
        <v>130.56</v>
      </c>
      <c r="H24" s="12">
        <v>-149.5</v>
      </c>
      <c r="I24" s="9">
        <f t="shared" si="1"/>
        <v>-3223.71</v>
      </c>
      <c r="J24" s="9">
        <f t="shared" si="2"/>
        <v>2741.76</v>
      </c>
      <c r="K24" s="9">
        <f t="shared" si="3"/>
        <v>-3139.5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5">
      <c r="A25" s="5">
        <v>19</v>
      </c>
      <c r="B25" s="11" t="s">
        <v>35</v>
      </c>
      <c r="C25" s="10">
        <v>1</v>
      </c>
      <c r="D25" s="12">
        <v>9</v>
      </c>
      <c r="E25" s="12">
        <f t="shared" si="0"/>
        <v>9</v>
      </c>
      <c r="F25" s="12">
        <v>-87.61</v>
      </c>
      <c r="G25" s="12">
        <v>135.16</v>
      </c>
      <c r="H25" s="12">
        <v>-86.52</v>
      </c>
      <c r="I25" s="9">
        <f t="shared" si="1"/>
        <v>-788.49</v>
      </c>
      <c r="J25" s="9">
        <f t="shared" si="2"/>
        <v>1216.44</v>
      </c>
      <c r="K25" s="9">
        <f t="shared" si="3"/>
        <v>-778.68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5">
      <c r="A26" s="5">
        <v>20</v>
      </c>
      <c r="B26" s="11" t="s">
        <v>36</v>
      </c>
      <c r="C26" s="10">
        <v>1</v>
      </c>
      <c r="D26" s="12">
        <v>3</v>
      </c>
      <c r="E26" s="12">
        <f t="shared" si="0"/>
        <v>3</v>
      </c>
      <c r="F26" s="12">
        <v>-91.48</v>
      </c>
      <c r="G26" s="12">
        <v>132.86000000000001</v>
      </c>
      <c r="H26" s="12">
        <v>-10.61</v>
      </c>
      <c r="I26" s="9">
        <f t="shared" si="1"/>
        <v>-274.44</v>
      </c>
      <c r="J26" s="9">
        <f t="shared" si="2"/>
        <v>398.58000000000004</v>
      </c>
      <c r="K26" s="9">
        <f t="shared" si="3"/>
        <v>-31.83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5">
      <c r="A27" s="5">
        <v>21</v>
      </c>
      <c r="B27" s="11" t="s">
        <v>37</v>
      </c>
      <c r="C27" s="10">
        <v>1</v>
      </c>
      <c r="D27" s="12">
        <v>83.59</v>
      </c>
      <c r="E27" s="12">
        <f t="shared" si="0"/>
        <v>83.59</v>
      </c>
      <c r="F27" s="12">
        <v>-153.51</v>
      </c>
      <c r="G27" s="12">
        <v>97.61</v>
      </c>
      <c r="H27" s="12">
        <v>-60.5</v>
      </c>
      <c r="I27" s="9">
        <f t="shared" si="1"/>
        <v>-12831.900900000001</v>
      </c>
      <c r="J27" s="9">
        <f t="shared" si="2"/>
        <v>8159.2199000000001</v>
      </c>
      <c r="K27" s="9">
        <f t="shared" si="3"/>
        <v>-5057.1950000000006</v>
      </c>
      <c r="L27" s="3"/>
      <c r="M27" s="3" t="s">
        <v>38</v>
      </c>
      <c r="N27" s="3"/>
      <c r="O27" s="3"/>
      <c r="P27" s="3"/>
      <c r="Q27" s="3"/>
      <c r="R27" s="3" t="s">
        <v>39</v>
      </c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5">
      <c r="A28" s="5">
        <v>22</v>
      </c>
      <c r="B28" s="11" t="s">
        <v>40</v>
      </c>
      <c r="C28" s="13">
        <v>1</v>
      </c>
      <c r="D28" s="12">
        <v>83.59</v>
      </c>
      <c r="E28" s="12">
        <f t="shared" si="0"/>
        <v>83.59</v>
      </c>
      <c r="F28" s="12">
        <v>-153.51</v>
      </c>
      <c r="G28" s="12">
        <v>97.61</v>
      </c>
      <c r="H28" s="12">
        <v>-149.5</v>
      </c>
      <c r="I28" s="9">
        <f t="shared" si="1"/>
        <v>-12831.900900000001</v>
      </c>
      <c r="J28" s="9">
        <f t="shared" si="2"/>
        <v>8159.2199000000001</v>
      </c>
      <c r="K28" s="9">
        <f t="shared" si="3"/>
        <v>-12496.705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5">
      <c r="A29" s="5">
        <v>23</v>
      </c>
      <c r="B29" s="14" t="s">
        <v>41</v>
      </c>
      <c r="C29" s="13">
        <v>1</v>
      </c>
      <c r="D29" s="15">
        <v>2.7</v>
      </c>
      <c r="E29" s="12">
        <f t="shared" si="0"/>
        <v>2.7</v>
      </c>
      <c r="F29" s="15">
        <v>-26</v>
      </c>
      <c r="G29" s="15">
        <v>117.26</v>
      </c>
      <c r="H29" s="15">
        <v>102.11</v>
      </c>
      <c r="I29" s="9">
        <f t="shared" si="1"/>
        <v>-70.2</v>
      </c>
      <c r="J29" s="9">
        <f t="shared" si="2"/>
        <v>316.60200000000003</v>
      </c>
      <c r="K29" s="9">
        <f t="shared" si="3"/>
        <v>275.697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5">
      <c r="A30" s="5">
        <v>24</v>
      </c>
      <c r="B30" s="11" t="s">
        <v>42</v>
      </c>
      <c r="C30" s="13">
        <v>1</v>
      </c>
      <c r="D30" s="15">
        <v>2.7</v>
      </c>
      <c r="E30" s="12">
        <f t="shared" si="0"/>
        <v>2.7</v>
      </c>
      <c r="F30" s="15">
        <v>12.19</v>
      </c>
      <c r="G30" s="15">
        <v>115.01</v>
      </c>
      <c r="H30" s="15">
        <v>84.61</v>
      </c>
      <c r="I30" s="9">
        <f t="shared" si="1"/>
        <v>32.913000000000004</v>
      </c>
      <c r="J30" s="9">
        <f t="shared" si="2"/>
        <v>310.52700000000004</v>
      </c>
      <c r="K30" s="9">
        <f t="shared" si="3"/>
        <v>228.447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5">
      <c r="A31" s="5">
        <v>25</v>
      </c>
      <c r="B31" s="14" t="s">
        <v>43</v>
      </c>
      <c r="C31" s="13">
        <v>1</v>
      </c>
      <c r="D31" s="15">
        <v>2.7</v>
      </c>
      <c r="E31" s="12">
        <f t="shared" si="0"/>
        <v>2.7</v>
      </c>
      <c r="F31" s="15">
        <v>39.840000000000003</v>
      </c>
      <c r="G31" s="15">
        <v>112.79</v>
      </c>
      <c r="H31" s="15">
        <v>54.05</v>
      </c>
      <c r="I31" s="9">
        <f t="shared" si="1"/>
        <v>107.56800000000001</v>
      </c>
      <c r="J31" s="9">
        <f t="shared" si="2"/>
        <v>304.53300000000002</v>
      </c>
      <c r="K31" s="9">
        <f t="shared" si="3"/>
        <v>145.935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5">
      <c r="A32" s="5">
        <v>26</v>
      </c>
      <c r="B32" s="11" t="s">
        <v>44</v>
      </c>
      <c r="C32" s="13">
        <v>1</v>
      </c>
      <c r="D32" s="15">
        <v>2.7</v>
      </c>
      <c r="E32" s="12">
        <f t="shared" si="0"/>
        <v>2.7</v>
      </c>
      <c r="F32" s="15">
        <v>54.72</v>
      </c>
      <c r="G32" s="15">
        <v>110.53</v>
      </c>
      <c r="H32" s="15">
        <v>14.65</v>
      </c>
      <c r="I32" s="9">
        <f t="shared" si="1"/>
        <v>147.744</v>
      </c>
      <c r="J32" s="9">
        <f t="shared" si="2"/>
        <v>298.43100000000004</v>
      </c>
      <c r="K32" s="9">
        <f t="shared" si="3"/>
        <v>39.555000000000007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5">
      <c r="A33" s="5">
        <v>27</v>
      </c>
      <c r="B33" s="14" t="s">
        <v>45</v>
      </c>
      <c r="C33" s="13">
        <v>1</v>
      </c>
      <c r="D33" s="15">
        <v>2.7</v>
      </c>
      <c r="E33" s="12">
        <f t="shared" si="0"/>
        <v>2.7</v>
      </c>
      <c r="F33" s="15">
        <v>52.15</v>
      </c>
      <c r="G33" s="15">
        <v>108.26</v>
      </c>
      <c r="H33" s="15">
        <v>-27.57</v>
      </c>
      <c r="I33" s="9">
        <f t="shared" si="1"/>
        <v>140.80500000000001</v>
      </c>
      <c r="J33" s="9">
        <f t="shared" si="2"/>
        <v>292.30200000000002</v>
      </c>
      <c r="K33" s="9">
        <f t="shared" si="3"/>
        <v>-74.439000000000007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5">
      <c r="A34" s="5">
        <v>28</v>
      </c>
      <c r="B34" s="11" t="s">
        <v>46</v>
      </c>
      <c r="C34" s="13">
        <v>1</v>
      </c>
      <c r="D34" s="15">
        <v>2.7</v>
      </c>
      <c r="E34" s="12">
        <f t="shared" si="0"/>
        <v>2.7</v>
      </c>
      <c r="F34" s="15">
        <v>33.9</v>
      </c>
      <c r="G34" s="15">
        <v>106.04</v>
      </c>
      <c r="H34" s="15">
        <v>-64.69</v>
      </c>
      <c r="I34" s="9">
        <f t="shared" si="1"/>
        <v>91.53</v>
      </c>
      <c r="J34" s="9">
        <f t="shared" si="2"/>
        <v>286.30800000000005</v>
      </c>
      <c r="K34" s="9">
        <f t="shared" si="3"/>
        <v>-174.66300000000001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5">
      <c r="A35" s="5">
        <v>29</v>
      </c>
      <c r="B35" s="14" t="s">
        <v>47</v>
      </c>
      <c r="C35" s="13">
        <v>1</v>
      </c>
      <c r="D35" s="15">
        <v>2.7</v>
      </c>
      <c r="E35" s="12">
        <f t="shared" si="0"/>
        <v>2.7</v>
      </c>
      <c r="F35" s="15">
        <v>0.37</v>
      </c>
      <c r="G35" s="15">
        <v>103.74</v>
      </c>
      <c r="H35" s="15">
        <v>-92.09</v>
      </c>
      <c r="I35" s="9">
        <f t="shared" si="1"/>
        <v>0.999</v>
      </c>
      <c r="J35" s="9">
        <f t="shared" si="2"/>
        <v>280.09800000000001</v>
      </c>
      <c r="K35" s="9">
        <f t="shared" si="3"/>
        <v>-248.64300000000003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5">
      <c r="A36" s="5">
        <v>30</v>
      </c>
      <c r="B36" s="11" t="s">
        <v>48</v>
      </c>
      <c r="C36" s="13">
        <v>1</v>
      </c>
      <c r="D36" s="15">
        <v>2.7</v>
      </c>
      <c r="E36" s="12">
        <f t="shared" si="0"/>
        <v>2.7</v>
      </c>
      <c r="F36" s="15">
        <v>-40.83</v>
      </c>
      <c r="G36" s="15">
        <v>101.43</v>
      </c>
      <c r="H36" s="15">
        <v>-103.92</v>
      </c>
      <c r="I36" s="9">
        <f t="shared" si="1"/>
        <v>-110.241</v>
      </c>
      <c r="J36" s="9">
        <f t="shared" si="2"/>
        <v>273.86100000000005</v>
      </c>
      <c r="K36" s="9">
        <f t="shared" si="3"/>
        <v>-280.584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5">
      <c r="A37" s="10">
        <v>31</v>
      </c>
      <c r="B37" s="14" t="s">
        <v>49</v>
      </c>
      <c r="C37" s="13">
        <v>1</v>
      </c>
      <c r="D37" s="15">
        <v>2.7</v>
      </c>
      <c r="E37" s="12">
        <f t="shared" si="0"/>
        <v>2.7</v>
      </c>
      <c r="F37" s="15">
        <v>-80.27</v>
      </c>
      <c r="G37" s="15">
        <v>99.36</v>
      </c>
      <c r="H37" s="15">
        <v>-105.19</v>
      </c>
      <c r="I37" s="9">
        <f t="shared" si="1"/>
        <v>-216.72900000000001</v>
      </c>
      <c r="J37" s="9">
        <f t="shared" si="2"/>
        <v>268.27199999999999</v>
      </c>
      <c r="K37" s="9">
        <f t="shared" si="3"/>
        <v>-284.01300000000003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5">
      <c r="A38" s="16"/>
      <c r="B38" s="17" t="s">
        <v>50</v>
      </c>
      <c r="C38" s="16">
        <f t="shared" ref="C38:K38" si="4">SUM(C7:C37)</f>
        <v>31</v>
      </c>
      <c r="D38" s="18">
        <f t="shared" si="4"/>
        <v>1470.8500000000004</v>
      </c>
      <c r="E38" s="18">
        <f t="shared" si="4"/>
        <v>1470.8500000000004</v>
      </c>
      <c r="F38" s="18">
        <f t="shared" si="4"/>
        <v>-1596.6099999999997</v>
      </c>
      <c r="G38" s="18">
        <f t="shared" si="4"/>
        <v>2675.69</v>
      </c>
      <c r="H38" s="18">
        <f t="shared" si="4"/>
        <v>-671.49</v>
      </c>
      <c r="I38" s="18">
        <f t="shared" si="4"/>
        <v>-88978.564100000018</v>
      </c>
      <c r="J38" s="18">
        <f t="shared" si="4"/>
        <v>119791.60829999998</v>
      </c>
      <c r="K38" s="18">
        <f t="shared" si="4"/>
        <v>-30272.196799999994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5">
      <c r="A40" s="1" t="s">
        <v>51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5">
      <c r="A41" s="3"/>
      <c r="B41" s="19" t="s">
        <v>8</v>
      </c>
      <c r="C41" s="20">
        <f>E38</f>
        <v>1470.8500000000004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5">
      <c r="A42" s="3"/>
      <c r="B42" s="19" t="s">
        <v>52</v>
      </c>
      <c r="C42" s="21">
        <f>E38/1000</f>
        <v>1.4708500000000004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5">
      <c r="A43" s="3"/>
      <c r="B43" s="19" t="s">
        <v>53</v>
      </c>
      <c r="C43" s="22">
        <f>I38/E38</f>
        <v>-60.494655539313996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5">
      <c r="A44" s="3"/>
      <c r="B44" s="19" t="s">
        <v>54</v>
      </c>
      <c r="C44" s="22">
        <f>J38/E38</f>
        <v>81.443796648196582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5">
      <c r="A45" s="3"/>
      <c r="B45" s="19" t="s">
        <v>55</v>
      </c>
      <c r="C45" s="22">
        <f>K38/E38</f>
        <v>-20.581430329401357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23" t="s">
        <v>56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</sheetData>
  <mergeCells count="3">
    <mergeCell ref="A2:K2"/>
    <mergeCell ref="A3:K3"/>
    <mergeCell ref="A4:K4"/>
  </mergeCells>
  <pageMargins left="0.75" right="0.75" top="1" bottom="1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 &amp; CG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 Ng</cp:lastModifiedBy>
  <dcterms:modified xsi:type="dcterms:W3CDTF">2026-04-07T05:49:06Z</dcterms:modified>
</cp:coreProperties>
</file>