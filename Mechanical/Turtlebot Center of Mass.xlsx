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 &amp; CG (1)" sheetId="1" r:id="rId5"/>
  </sheets>
  <definedNames/>
  <calcPr/>
</workbook>
</file>

<file path=xl/sharedStrings.xml><?xml version="1.0" encoding="utf-8"?>
<sst xmlns="http://schemas.openxmlformats.org/spreadsheetml/2006/main" count="60" uniqueCount="59">
  <si>
    <t>Group 1: Alexander Yaw Kai Mun (A0306763B), Shandrico (A0305761H), Russell (A0323035U), Moksh (A0305884W)</t>
  </si>
  <si>
    <t>TurtleBot3 Burger - Mass, CG &amp; MOI Estimation</t>
  </si>
  <si>
    <t>Origin: Centre of Ball Socket, at ground level. X = Back, Y = Up, Z = Left</t>
  </si>
  <si>
    <t>Dimensions: 138mm (L) x 178mm (W) x 192mm (H) | Includes Self-Made Payload (Ramp + Launcher + Camera)</t>
  </si>
  <si>
    <t>No.</t>
  </si>
  <si>
    <t>Part Name</t>
  </si>
  <si>
    <t>Qty</t>
  </si>
  <si>
    <t>Unit Mass (g)</t>
  </si>
  <si>
    <t>Total Mass (g)</t>
  </si>
  <si>
    <t>CG X (mm)</t>
  </si>
  <si>
    <t>CG Y (mm)</t>
  </si>
  <si>
    <t>CG Z (mm)</t>
  </si>
  <si>
    <t>Mass*X (g.mm)</t>
  </si>
  <si>
    <t>Mass*Y (g.mm)</t>
  </si>
  <si>
    <t>Mass*Z (g.mm)</t>
  </si>
  <si>
    <t>Top View</t>
  </si>
  <si>
    <t>Isometric View</t>
  </si>
  <si>
    <t>Waffle Plate (Layer 1 - Base) with fasteners</t>
  </si>
  <si>
    <t>Waffle Plate (Layer 2) with fasteners</t>
  </si>
  <si>
    <t>Waffle Plate (Layer 3) with fasteners</t>
  </si>
  <si>
    <t>Waffle Plate (Layer 4 - Top) fasteners</t>
  </si>
  <si>
    <t>Dynamixel XL430-W250 (Left Motor)</t>
  </si>
  <si>
    <t>Dynamixel XL430-W250 (Right Motor)</t>
  </si>
  <si>
    <t>Wheel + Tire (Left)</t>
  </si>
  <si>
    <t>Wheel + Tire (Right)</t>
  </si>
  <si>
    <t>Ball Caster Assembly</t>
  </si>
  <si>
    <t>OpenCR 1.0 Board</t>
  </si>
  <si>
    <t>Raspberry Pi 4</t>
  </si>
  <si>
    <t>LDS-02 LiDAR Sensor</t>
  </si>
  <si>
    <t>Li-Po Battery (11.1V 1800mAh)</t>
  </si>
  <si>
    <t>USB2LDS Board</t>
  </si>
  <si>
    <t>PLA Ball Storage (3D Printed)</t>
  </si>
  <si>
    <t>Barrel Housing (3D Printed PLA)</t>
  </si>
  <si>
    <t>Feeder Gate</t>
  </si>
  <si>
    <t>Left RC-300 DC Motor 1.5 - 6.5 V</t>
  </si>
  <si>
    <t>Right RC-300 DC Motor</t>
  </si>
  <si>
    <t>SG90 Servo Motor (Ball Feed)</t>
  </si>
  <si>
    <t>RPi Camera Module V2</t>
  </si>
  <si>
    <t>Flywheel Left</t>
  </si>
  <si>
    <t>Left View</t>
  </si>
  <si>
    <t>Right View</t>
  </si>
  <si>
    <t>Flywheel Right</t>
  </si>
  <si>
    <t>Pingpong Ball 1</t>
  </si>
  <si>
    <t>Pingpong Ball 2</t>
  </si>
  <si>
    <t>Pingpong Ball 3</t>
  </si>
  <si>
    <t>Pingpong Ball 4</t>
  </si>
  <si>
    <t>Pingpong Ball 5</t>
  </si>
  <si>
    <t>Pingpong Ball 6</t>
  </si>
  <si>
    <t>Pingpong Ball 7</t>
  </si>
  <si>
    <t>Pingpong Ball 8</t>
  </si>
  <si>
    <t>Pingpong Ball 9</t>
  </si>
  <si>
    <t>TOTALS</t>
  </si>
  <si>
    <t>SYSTEM CENTRE OF GRAVITY</t>
  </si>
  <si>
    <t>Total Mass (kg)</t>
  </si>
  <si>
    <t>System CG X (mm)</t>
  </si>
  <si>
    <t>System CG Y (mm)</t>
  </si>
  <si>
    <t>System CG Z (mm)</t>
  </si>
  <si>
    <t>Location of Origin (Center of Ball Caster)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</si>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</sst>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2">
    <font>
      <sz val="11.0"/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FF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readingOrder="0" shrinkToFit="0" vertical="bottom" wrapText="0"/>
    </xf>
    <xf borderId="1" fillId="0" fontId="6" numFmtId="1" xfId="0" applyAlignment="1" applyBorder="1" applyFont="1" applyNumberFormat="1">
      <alignment horizontal="center" shrinkToFit="0" vertical="bottom" wrapText="0"/>
    </xf>
    <xf borderId="1" fillId="0" fontId="6" numFmtId="1" xfId="0" applyAlignment="1" applyBorder="1" applyFont="1" applyNumberFormat="1">
      <alignment horizontal="left" readingOrder="0" shrinkToFit="0" vertical="bottom" wrapText="0"/>
    </xf>
    <xf borderId="1" fillId="0" fontId="7" numFmtId="1" xfId="0" applyAlignment="1" applyBorder="1" applyFont="1" applyNumberFormat="1">
      <alignment horizontal="center" shrinkToFit="0" vertical="bottom" wrapText="0"/>
    </xf>
    <xf borderId="1" fillId="0" fontId="7" numFmtId="2" xfId="0" applyAlignment="1" applyBorder="1" applyFont="1" applyNumberFormat="1">
      <alignment horizontal="center" readingOrder="0" shrinkToFit="0" vertical="bottom" wrapText="0"/>
    </xf>
    <xf borderId="1" fillId="0" fontId="6" numFmtId="2" xfId="0" applyAlignment="1" applyBorder="1" applyFont="1" applyNumberFormat="1">
      <alignment horizontal="center" shrinkToFit="0" vertical="bottom" wrapText="0"/>
    </xf>
    <xf borderId="1" fillId="0" fontId="6" numFmtId="1" xfId="0" applyAlignment="1" applyBorder="1" applyFont="1" applyNumberFormat="1">
      <alignment horizontal="left" shrinkToFit="0" vertical="bottom" wrapText="0"/>
    </xf>
    <xf borderId="1" fillId="0" fontId="7" numFmtId="2" xfId="0" applyAlignment="1" applyBorder="1" applyFont="1" applyNumberFormat="1">
      <alignment horizontal="center" shrinkToFit="0" vertical="bottom" wrapText="0"/>
    </xf>
    <xf borderId="1" fillId="0" fontId="8" numFmtId="1" xfId="0" applyAlignment="1" applyBorder="1" applyFont="1" applyNumberFormat="1">
      <alignment horizontal="center" readingOrder="0" shrinkToFit="0" vertical="bottom" wrapText="0"/>
    </xf>
    <xf borderId="1" fillId="0" fontId="8" numFmtId="1" xfId="0" applyAlignment="1" applyBorder="1" applyFont="1" applyNumberFormat="1">
      <alignment horizontal="left" readingOrder="0" shrinkToFit="0" vertical="bottom" wrapText="0"/>
    </xf>
    <xf borderId="1" fillId="0" fontId="8" numFmtId="1" xfId="0" applyAlignment="1" applyBorder="1" applyFont="1" applyNumberFormat="1">
      <alignment horizontal="center" shrinkToFit="0" vertical="bottom" wrapText="0"/>
    </xf>
    <xf borderId="1" fillId="0" fontId="8" numFmtId="2" xfId="0" applyAlignment="1" applyBorder="1" applyFont="1" applyNumberFormat="1">
      <alignment horizontal="center" readingOrder="0" shrinkToFit="0" vertical="bottom" wrapText="0"/>
    </xf>
    <xf borderId="1" fillId="0" fontId="8" numFmtId="2" xfId="0" applyAlignment="1" applyBorder="1" applyFont="1" applyNumberFormat="1">
      <alignment horizontal="center" shrinkToFit="0" vertical="bottom" wrapText="0"/>
    </xf>
    <xf borderId="1" fillId="0" fontId="8" numFmtId="1" xfId="0" applyAlignment="1" applyBorder="1" applyFont="1" applyNumberFormat="1">
      <alignment horizontal="left" shrinkToFit="0" vertical="bottom" wrapText="0"/>
    </xf>
    <xf borderId="1" fillId="0" fontId="8" numFmtId="1" xfId="0" applyAlignment="1" applyBorder="1" applyFont="1" applyNumberFormat="1">
      <alignment horizontal="left" readingOrder="0" shrinkToFit="0" vertical="bottom" wrapText="0"/>
    </xf>
    <xf borderId="1" fillId="0" fontId="9" numFmtId="1" xfId="0" applyAlignment="1" applyBorder="1" applyFont="1" applyNumberFormat="1">
      <alignment horizontal="center" readingOrder="0" shrinkToFit="0" vertical="bottom" wrapText="0"/>
    </xf>
    <xf borderId="0" fillId="0" fontId="10" numFmtId="0" xfId="0" applyAlignment="1" applyFont="1">
      <alignment readingOrder="0"/>
    </xf>
    <xf borderId="1" fillId="0" fontId="9" numFmtId="2" xfId="0" applyAlignment="1" applyBorder="1" applyFont="1" applyNumberFormat="1">
      <alignment horizontal="center" readingOrder="0" shrinkToFit="0" vertical="bottom" wrapText="0"/>
    </xf>
    <xf borderId="1" fillId="3" fontId="9" numFmtId="1" xfId="0" applyAlignment="1" applyBorder="1" applyFill="1" applyFont="1" applyNumberFormat="1">
      <alignment horizontal="center" shrinkToFit="0" vertical="bottom" wrapText="0"/>
    </xf>
    <xf borderId="1" fillId="3" fontId="9" numFmtId="1" xfId="0" applyAlignment="1" applyBorder="1" applyFont="1" applyNumberFormat="1">
      <alignment horizontal="left" shrinkToFit="0" vertical="bottom" wrapText="0"/>
    </xf>
    <xf borderId="1" fillId="3" fontId="9" numFmtId="2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2" fillId="4" fontId="9" numFmtId="0" xfId="0" applyAlignment="1" applyBorder="1" applyFill="1" applyFont="1">
      <alignment horizontal="left" shrinkToFit="0" vertical="bottom" wrapText="0"/>
    </xf>
    <xf borderId="1" fillId="4" fontId="9" numFmtId="1" xfId="0" applyAlignment="1" applyBorder="1" applyFont="1" applyNumberFormat="1">
      <alignment shrinkToFit="0" vertical="bottom" wrapText="0"/>
    </xf>
    <xf borderId="1" fillId="4" fontId="9" numFmtId="164" xfId="0" applyAlignment="1" applyBorder="1" applyFont="1" applyNumberFormat="1">
      <alignment shrinkToFit="0" vertical="bottom" wrapText="0"/>
    </xf>
    <xf borderId="1" fillId="4" fontId="9" numFmtId="165" xfId="0" applyAlignment="1" applyBorder="1" applyFont="1" applyNumberFormat="1">
      <alignment shrinkToFit="0" vertical="bottom" wrapText="0"/>
    </xf>
    <xf borderId="0" fillId="0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49</xdr:row>
      <xdr:rowOff>19050</xdr:rowOff>
    </xdr:from>
    <xdr:ext cx="4876800" cy="44958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781050</xdr:colOff>
      <xdr:row>6</xdr:row>
      <xdr:rowOff>114300</xdr:rowOff>
    </xdr:from>
    <xdr:ext cx="4667250" cy="35718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28</xdr:row>
      <xdr:rowOff>28575</xdr:rowOff>
    </xdr:from>
    <xdr:ext cx="4876800" cy="39052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800100</xdr:colOff>
      <xdr:row>28</xdr:row>
      <xdr:rowOff>28575</xdr:rowOff>
    </xdr:from>
    <xdr:ext cx="4219575" cy="3848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6</xdr:row>
      <xdr:rowOff>142875</xdr:rowOff>
    </xdr:from>
    <xdr:ext cx="3543300" cy="35147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4.88"/>
    <col customWidth="1" min="3" max="3" width="5.63"/>
    <col customWidth="1" min="4" max="4" width="15.5"/>
    <col customWidth="1" min="5" max="5" width="12.25"/>
    <col customWidth="1" min="6" max="8" width="10.5"/>
    <col customWidth="1" min="9" max="11" width="12.25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 t="s">
        <v>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" t="s">
        <v>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5" t="s">
        <v>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6.25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3"/>
      <c r="M6" s="7" t="s">
        <v>15</v>
      </c>
      <c r="N6" s="3"/>
      <c r="O6" s="3"/>
      <c r="P6" s="3"/>
      <c r="Q6" s="3"/>
      <c r="R6" s="7" t="s">
        <v>16</v>
      </c>
      <c r="S6" s="3"/>
      <c r="T6" s="3"/>
      <c r="U6" s="3"/>
      <c r="V6" s="3"/>
      <c r="W6" s="3"/>
      <c r="X6" s="3"/>
      <c r="Y6" s="3"/>
      <c r="Z6" s="3"/>
    </row>
    <row r="7" ht="15.0" customHeight="1">
      <c r="A7" s="8">
        <v>1.0</v>
      </c>
      <c r="B7" s="9" t="s">
        <v>17</v>
      </c>
      <c r="C7" s="10">
        <v>1.0</v>
      </c>
      <c r="D7" s="11">
        <v>138.12</v>
      </c>
      <c r="E7" s="12">
        <f t="shared" ref="E7:E20" si="1">C7*D7</f>
        <v>138.12</v>
      </c>
      <c r="F7" s="11">
        <v>-49.0</v>
      </c>
      <c r="G7" s="11">
        <v>11.12</v>
      </c>
      <c r="H7" s="11">
        <v>0.0</v>
      </c>
      <c r="I7" s="12">
        <f t="shared" ref="I7:I38" si="2">E7*F7</f>
        <v>-6767.88</v>
      </c>
      <c r="J7" s="12">
        <f t="shared" ref="J7:J38" si="3">E7*G7</f>
        <v>1535.8944</v>
      </c>
      <c r="K7" s="12">
        <f t="shared" ref="K7:K38" si="4">E7*H7</f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8">
        <v>2.0</v>
      </c>
      <c r="B8" s="9" t="s">
        <v>18</v>
      </c>
      <c r="C8" s="10">
        <v>1.0</v>
      </c>
      <c r="D8" s="11">
        <v>138.12</v>
      </c>
      <c r="E8" s="12">
        <f t="shared" si="1"/>
        <v>138.12</v>
      </c>
      <c r="F8" s="11">
        <v>-49.0</v>
      </c>
      <c r="G8" s="11">
        <v>48.44</v>
      </c>
      <c r="H8" s="11">
        <v>0.0</v>
      </c>
      <c r="I8" s="12">
        <f t="shared" si="2"/>
        <v>-6767.88</v>
      </c>
      <c r="J8" s="12">
        <f t="shared" si="3"/>
        <v>6690.5328</v>
      </c>
      <c r="K8" s="12">
        <f t="shared" si="4"/>
        <v>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8">
        <v>3.0</v>
      </c>
      <c r="B9" s="9" t="s">
        <v>19</v>
      </c>
      <c r="C9" s="10">
        <v>1.0</v>
      </c>
      <c r="D9" s="11">
        <v>138.12</v>
      </c>
      <c r="E9" s="12">
        <f t="shared" si="1"/>
        <v>138.12</v>
      </c>
      <c r="F9" s="11">
        <v>-49.0</v>
      </c>
      <c r="G9" s="11">
        <v>95.22</v>
      </c>
      <c r="H9" s="11">
        <v>0.0</v>
      </c>
      <c r="I9" s="12">
        <f t="shared" si="2"/>
        <v>-6767.88</v>
      </c>
      <c r="J9" s="12">
        <f t="shared" si="3"/>
        <v>13151.7864</v>
      </c>
      <c r="K9" s="12">
        <f t="shared" si="4"/>
        <v>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8">
        <v>4.0</v>
      </c>
      <c r="B10" s="9" t="s">
        <v>20</v>
      </c>
      <c r="C10" s="10">
        <v>1.0</v>
      </c>
      <c r="D10" s="11">
        <v>138.12</v>
      </c>
      <c r="E10" s="12">
        <f t="shared" si="1"/>
        <v>138.12</v>
      </c>
      <c r="F10" s="11">
        <v>-49.0</v>
      </c>
      <c r="G10" s="11">
        <v>142.02</v>
      </c>
      <c r="H10" s="11">
        <v>0.0</v>
      </c>
      <c r="I10" s="12">
        <f t="shared" si="2"/>
        <v>-6767.88</v>
      </c>
      <c r="J10" s="12">
        <f t="shared" si="3"/>
        <v>19615.8024</v>
      </c>
      <c r="K10" s="12">
        <f t="shared" si="4"/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8">
        <v>5.0</v>
      </c>
      <c r="B11" s="13" t="s">
        <v>21</v>
      </c>
      <c r="C11" s="10">
        <v>1.0</v>
      </c>
      <c r="D11" s="11">
        <v>16.0</v>
      </c>
      <c r="E11" s="12">
        <f t="shared" si="1"/>
        <v>16</v>
      </c>
      <c r="F11" s="11">
        <v>-69.0</v>
      </c>
      <c r="G11" s="11">
        <v>29.08</v>
      </c>
      <c r="H11" s="11">
        <v>52.67</v>
      </c>
      <c r="I11" s="12">
        <f t="shared" si="2"/>
        <v>-1104</v>
      </c>
      <c r="J11" s="12">
        <f t="shared" si="3"/>
        <v>465.28</v>
      </c>
      <c r="K11" s="12">
        <f t="shared" si="4"/>
        <v>842.72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8">
        <v>6.0</v>
      </c>
      <c r="B12" s="13" t="s">
        <v>22</v>
      </c>
      <c r="C12" s="10">
        <v>1.0</v>
      </c>
      <c r="D12" s="11">
        <v>16.0</v>
      </c>
      <c r="E12" s="12">
        <f t="shared" si="1"/>
        <v>16</v>
      </c>
      <c r="F12" s="11">
        <v>-69.0</v>
      </c>
      <c r="G12" s="11">
        <v>28.54</v>
      </c>
      <c r="H12" s="11">
        <v>-52.67</v>
      </c>
      <c r="I12" s="12">
        <f t="shared" si="2"/>
        <v>-1104</v>
      </c>
      <c r="J12" s="12">
        <f t="shared" si="3"/>
        <v>456.64</v>
      </c>
      <c r="K12" s="12">
        <f t="shared" si="4"/>
        <v>-842.72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8">
        <v>7.0</v>
      </c>
      <c r="B13" s="13" t="s">
        <v>23</v>
      </c>
      <c r="C13" s="10">
        <v>1.0</v>
      </c>
      <c r="D13" s="11">
        <v>29.88</v>
      </c>
      <c r="E13" s="12">
        <f t="shared" si="1"/>
        <v>29.88</v>
      </c>
      <c r="F13" s="11">
        <v>-81.0</v>
      </c>
      <c r="G13" s="11">
        <v>28.81</v>
      </c>
      <c r="H13" s="11">
        <v>78.62</v>
      </c>
      <c r="I13" s="12">
        <f t="shared" si="2"/>
        <v>-2420.28</v>
      </c>
      <c r="J13" s="12">
        <f t="shared" si="3"/>
        <v>860.8428</v>
      </c>
      <c r="K13" s="12">
        <f t="shared" si="4"/>
        <v>2349.1656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8">
        <v>8.0</v>
      </c>
      <c r="B14" s="13" t="s">
        <v>24</v>
      </c>
      <c r="C14" s="10">
        <v>1.0</v>
      </c>
      <c r="D14" s="11">
        <v>29.88</v>
      </c>
      <c r="E14" s="12">
        <f t="shared" si="1"/>
        <v>29.88</v>
      </c>
      <c r="F14" s="11">
        <v>-81.0</v>
      </c>
      <c r="G14" s="11">
        <v>28.81</v>
      </c>
      <c r="H14" s="11">
        <v>-78.62</v>
      </c>
      <c r="I14" s="12">
        <f t="shared" si="2"/>
        <v>-2420.28</v>
      </c>
      <c r="J14" s="12">
        <f t="shared" si="3"/>
        <v>860.8428</v>
      </c>
      <c r="K14" s="12">
        <f t="shared" si="4"/>
        <v>-2349.1656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8">
        <v>9.0</v>
      </c>
      <c r="B15" s="13" t="s">
        <v>25</v>
      </c>
      <c r="C15" s="10">
        <v>1.0</v>
      </c>
      <c r="D15" s="11">
        <v>1.44</v>
      </c>
      <c r="E15" s="12">
        <f t="shared" si="1"/>
        <v>1.44</v>
      </c>
      <c r="F15" s="11">
        <v>0.0</v>
      </c>
      <c r="G15" s="11">
        <v>2.19</v>
      </c>
      <c r="H15" s="11">
        <v>0.0</v>
      </c>
      <c r="I15" s="12">
        <f t="shared" si="2"/>
        <v>0</v>
      </c>
      <c r="J15" s="12">
        <f t="shared" si="3"/>
        <v>3.1536</v>
      </c>
      <c r="K15" s="12">
        <f t="shared" si="4"/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8">
        <v>10.0</v>
      </c>
      <c r="B16" s="13" t="s">
        <v>26</v>
      </c>
      <c r="C16" s="10">
        <v>1.0</v>
      </c>
      <c r="D16" s="11">
        <v>64.0</v>
      </c>
      <c r="E16" s="12">
        <f t="shared" si="1"/>
        <v>64</v>
      </c>
      <c r="F16" s="11">
        <v>-55.61</v>
      </c>
      <c r="G16" s="11">
        <v>64.69</v>
      </c>
      <c r="H16" s="11">
        <v>1.41</v>
      </c>
      <c r="I16" s="12">
        <f t="shared" si="2"/>
        <v>-3559.04</v>
      </c>
      <c r="J16" s="12">
        <f t="shared" si="3"/>
        <v>4140.16</v>
      </c>
      <c r="K16" s="12">
        <f t="shared" si="4"/>
        <v>90.24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8">
        <v>11.0</v>
      </c>
      <c r="B17" s="13" t="s">
        <v>27</v>
      </c>
      <c r="C17" s="10">
        <v>1.0</v>
      </c>
      <c r="D17" s="11">
        <v>47.0</v>
      </c>
      <c r="E17" s="12">
        <f t="shared" si="1"/>
        <v>47</v>
      </c>
      <c r="F17" s="14">
        <v>4.0</v>
      </c>
      <c r="G17" s="14">
        <v>3.0</v>
      </c>
      <c r="H17" s="14">
        <v>96.0</v>
      </c>
      <c r="I17" s="12">
        <f t="shared" si="2"/>
        <v>188</v>
      </c>
      <c r="J17" s="12">
        <f t="shared" si="3"/>
        <v>141</v>
      </c>
      <c r="K17" s="12">
        <f t="shared" si="4"/>
        <v>4512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8">
        <v>12.0</v>
      </c>
      <c r="B18" s="13" t="s">
        <v>28</v>
      </c>
      <c r="C18" s="10">
        <v>1.0</v>
      </c>
      <c r="D18" s="11">
        <v>53.0</v>
      </c>
      <c r="E18" s="12">
        <f t="shared" si="1"/>
        <v>53</v>
      </c>
      <c r="F18" s="11">
        <v>-54.2</v>
      </c>
      <c r="G18" s="11">
        <v>153.35</v>
      </c>
      <c r="H18" s="11">
        <v>0.0</v>
      </c>
      <c r="I18" s="12">
        <f t="shared" si="2"/>
        <v>-2872.6</v>
      </c>
      <c r="J18" s="12">
        <f t="shared" si="3"/>
        <v>8127.55</v>
      </c>
      <c r="K18" s="12">
        <f t="shared" si="4"/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8">
        <v>13.0</v>
      </c>
      <c r="B19" s="13" t="s">
        <v>29</v>
      </c>
      <c r="C19" s="10">
        <v>1.0</v>
      </c>
      <c r="D19" s="11">
        <v>84.03</v>
      </c>
      <c r="E19" s="12">
        <f t="shared" si="1"/>
        <v>84.03</v>
      </c>
      <c r="F19" s="11">
        <v>-45.66</v>
      </c>
      <c r="G19" s="11">
        <v>28.11</v>
      </c>
      <c r="H19" s="11">
        <v>0.0</v>
      </c>
      <c r="I19" s="12">
        <f t="shared" si="2"/>
        <v>-3836.8098</v>
      </c>
      <c r="J19" s="12">
        <f t="shared" si="3"/>
        <v>2362.0833</v>
      </c>
      <c r="K19" s="12">
        <f t="shared" si="4"/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8">
        <v>14.0</v>
      </c>
      <c r="B20" s="13" t="s">
        <v>30</v>
      </c>
      <c r="C20" s="10">
        <v>1.0</v>
      </c>
      <c r="D20" s="11">
        <v>2.65</v>
      </c>
      <c r="E20" s="12">
        <f t="shared" si="1"/>
        <v>2.65</v>
      </c>
      <c r="F20" s="11">
        <v>-64.02</v>
      </c>
      <c r="G20" s="11">
        <v>99.39</v>
      </c>
      <c r="H20" s="11">
        <v>1.77</v>
      </c>
      <c r="I20" s="12">
        <f t="shared" si="2"/>
        <v>-169.653</v>
      </c>
      <c r="J20" s="12">
        <f t="shared" si="3"/>
        <v>263.3835</v>
      </c>
      <c r="K20" s="12">
        <f t="shared" si="4"/>
        <v>4.6905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">
        <v>15.0</v>
      </c>
      <c r="B21" s="16" t="s">
        <v>31</v>
      </c>
      <c r="C21" s="17">
        <v>1.0</v>
      </c>
      <c r="D21" s="18">
        <v>144.74</v>
      </c>
      <c r="E21" s="18">
        <v>144.74</v>
      </c>
      <c r="F21" s="18">
        <v>-36.14</v>
      </c>
      <c r="G21" s="18">
        <v>169.12</v>
      </c>
      <c r="H21" s="18">
        <v>63.36</v>
      </c>
      <c r="I21" s="12">
        <f t="shared" si="2"/>
        <v>-5230.9036</v>
      </c>
      <c r="J21" s="12">
        <f t="shared" si="3"/>
        <v>24478.4288</v>
      </c>
      <c r="K21" s="12">
        <f t="shared" si="4"/>
        <v>9170.7264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5">
        <v>16.0</v>
      </c>
      <c r="B22" s="16" t="s">
        <v>32</v>
      </c>
      <c r="C22" s="17">
        <v>1.0</v>
      </c>
      <c r="D22" s="18">
        <v>107.92</v>
      </c>
      <c r="E22" s="18">
        <v>107.92</v>
      </c>
      <c r="F22" s="18">
        <v>-60.06</v>
      </c>
      <c r="G22" s="18">
        <v>153.87</v>
      </c>
      <c r="H22" s="18">
        <v>-0.9</v>
      </c>
      <c r="I22" s="12">
        <f t="shared" si="2"/>
        <v>-6481.6752</v>
      </c>
      <c r="J22" s="12">
        <f t="shared" si="3"/>
        <v>16605.6504</v>
      </c>
      <c r="K22" s="12">
        <f t="shared" si="4"/>
        <v>-97.128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8"/>
      <c r="B23" s="16" t="s">
        <v>33</v>
      </c>
      <c r="C23" s="15"/>
      <c r="D23" s="18">
        <v>7.74</v>
      </c>
      <c r="E23" s="18">
        <v>7.74</v>
      </c>
      <c r="F23" s="18">
        <v>3.64</v>
      </c>
      <c r="G23" s="18">
        <v>169.18</v>
      </c>
      <c r="H23" s="18">
        <v>-37.97</v>
      </c>
      <c r="I23" s="12">
        <f t="shared" si="2"/>
        <v>28.1736</v>
      </c>
      <c r="J23" s="12">
        <f t="shared" si="3"/>
        <v>1309.4532</v>
      </c>
      <c r="K23" s="12">
        <f t="shared" si="4"/>
        <v>-293.8878</v>
      </c>
      <c r="L23" s="3"/>
      <c r="N23" s="3"/>
      <c r="O23" s="3"/>
      <c r="P23" s="3"/>
      <c r="Q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8">
        <v>17.0</v>
      </c>
      <c r="B24" s="16" t="s">
        <v>34</v>
      </c>
      <c r="C24" s="15">
        <v>1.0</v>
      </c>
      <c r="D24" s="18">
        <v>21.0</v>
      </c>
      <c r="E24" s="19">
        <f t="shared" ref="E24:E38" si="5">C24*D24</f>
        <v>21</v>
      </c>
      <c r="F24" s="18">
        <v>-65.11</v>
      </c>
      <c r="G24" s="18">
        <v>147.61</v>
      </c>
      <c r="H24" s="18">
        <v>44.25</v>
      </c>
      <c r="I24" s="12">
        <f t="shared" si="2"/>
        <v>-1367.31</v>
      </c>
      <c r="J24" s="12">
        <f t="shared" si="3"/>
        <v>3099.81</v>
      </c>
      <c r="K24" s="12">
        <f t="shared" si="4"/>
        <v>929.25</v>
      </c>
      <c r="L24" s="3"/>
      <c r="N24" s="3"/>
      <c r="O24" s="3"/>
      <c r="P24" s="3"/>
      <c r="Q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>
        <v>18.0</v>
      </c>
      <c r="B25" s="16" t="s">
        <v>35</v>
      </c>
      <c r="C25" s="15">
        <v>1.0</v>
      </c>
      <c r="D25" s="18">
        <v>21.0</v>
      </c>
      <c r="E25" s="19">
        <f t="shared" si="5"/>
        <v>21</v>
      </c>
      <c r="F25" s="18">
        <v>-65.11</v>
      </c>
      <c r="G25" s="18">
        <v>147.61</v>
      </c>
      <c r="H25" s="18">
        <v>-44.25</v>
      </c>
      <c r="I25" s="12">
        <f t="shared" si="2"/>
        <v>-1367.31</v>
      </c>
      <c r="J25" s="12">
        <f t="shared" si="3"/>
        <v>3099.81</v>
      </c>
      <c r="K25" s="12">
        <f t="shared" si="4"/>
        <v>-929.25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8">
        <v>19.0</v>
      </c>
      <c r="B26" s="20" t="s">
        <v>36</v>
      </c>
      <c r="C26" s="17">
        <v>1.0</v>
      </c>
      <c r="D26" s="19">
        <v>9.0</v>
      </c>
      <c r="E26" s="19">
        <f t="shared" si="5"/>
        <v>9</v>
      </c>
      <c r="F26" s="18">
        <v>-87.61</v>
      </c>
      <c r="G26" s="18">
        <v>135.16</v>
      </c>
      <c r="H26" s="18">
        <v>-86.52</v>
      </c>
      <c r="I26" s="12">
        <f t="shared" si="2"/>
        <v>-788.49</v>
      </c>
      <c r="J26" s="12">
        <f t="shared" si="3"/>
        <v>1216.44</v>
      </c>
      <c r="K26" s="12">
        <f t="shared" si="4"/>
        <v>-778.68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8">
        <v>20.0</v>
      </c>
      <c r="B27" s="20" t="s">
        <v>37</v>
      </c>
      <c r="C27" s="17">
        <v>1.0</v>
      </c>
      <c r="D27" s="19">
        <v>3.0</v>
      </c>
      <c r="E27" s="19">
        <f t="shared" si="5"/>
        <v>3</v>
      </c>
      <c r="F27" s="18">
        <v>-91.48</v>
      </c>
      <c r="G27" s="18">
        <v>132.86</v>
      </c>
      <c r="H27" s="18">
        <v>-10.61</v>
      </c>
      <c r="I27" s="12">
        <f t="shared" si="2"/>
        <v>-274.44</v>
      </c>
      <c r="J27" s="12">
        <f t="shared" si="3"/>
        <v>398.58</v>
      </c>
      <c r="K27" s="12">
        <f t="shared" si="4"/>
        <v>-31.83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>
        <v>21.0</v>
      </c>
      <c r="B28" s="16" t="s">
        <v>38</v>
      </c>
      <c r="C28" s="17">
        <v>1.0</v>
      </c>
      <c r="D28" s="18">
        <v>83.59</v>
      </c>
      <c r="E28" s="19">
        <f t="shared" si="5"/>
        <v>83.59</v>
      </c>
      <c r="F28" s="18">
        <v>-153.51</v>
      </c>
      <c r="G28" s="18">
        <v>97.61</v>
      </c>
      <c r="H28" s="18">
        <v>-60.5</v>
      </c>
      <c r="I28" s="12">
        <f t="shared" si="2"/>
        <v>-12831.9009</v>
      </c>
      <c r="J28" s="12">
        <f t="shared" si="3"/>
        <v>8159.2199</v>
      </c>
      <c r="K28" s="12">
        <f t="shared" si="4"/>
        <v>-5057.195</v>
      </c>
      <c r="L28" s="3"/>
      <c r="M28" s="7" t="s">
        <v>39</v>
      </c>
      <c r="N28" s="3"/>
      <c r="O28" s="3"/>
      <c r="P28" s="3"/>
      <c r="Q28" s="3"/>
      <c r="R28" s="7" t="s">
        <v>40</v>
      </c>
      <c r="S28" s="3"/>
      <c r="T28" s="3"/>
      <c r="U28" s="3"/>
      <c r="V28" s="3"/>
      <c r="W28" s="3"/>
      <c r="X28" s="3"/>
      <c r="Y28" s="3"/>
      <c r="Z28" s="3"/>
    </row>
    <row r="29" ht="15.75" customHeight="1">
      <c r="A29" s="8">
        <v>22.0</v>
      </c>
      <c r="B29" s="21" t="s">
        <v>41</v>
      </c>
      <c r="C29" s="22">
        <v>1.0</v>
      </c>
      <c r="D29" s="18">
        <v>83.59</v>
      </c>
      <c r="E29" s="19">
        <f t="shared" si="5"/>
        <v>83.59</v>
      </c>
      <c r="F29" s="18">
        <v>-65.11</v>
      </c>
      <c r="G29" s="18">
        <v>171.06</v>
      </c>
      <c r="H29" s="18">
        <v>-44.25</v>
      </c>
      <c r="I29" s="12">
        <f t="shared" si="2"/>
        <v>-5442.5449</v>
      </c>
      <c r="J29" s="12">
        <f t="shared" si="3"/>
        <v>14298.9054</v>
      </c>
      <c r="K29" s="12">
        <f t="shared" si="4"/>
        <v>-3698.8575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8">
        <v>23.0</v>
      </c>
      <c r="B30" s="23" t="s">
        <v>42</v>
      </c>
      <c r="C30" s="22">
        <v>1.0</v>
      </c>
      <c r="D30" s="24">
        <v>2.7</v>
      </c>
      <c r="E30" s="19">
        <f t="shared" si="5"/>
        <v>2.7</v>
      </c>
      <c r="F30" s="24">
        <v>-65.11</v>
      </c>
      <c r="G30" s="24">
        <v>171.06</v>
      </c>
      <c r="H30" s="24">
        <v>44.25</v>
      </c>
      <c r="I30" s="12">
        <f t="shared" si="2"/>
        <v>-175.797</v>
      </c>
      <c r="J30" s="12">
        <f t="shared" si="3"/>
        <v>461.862</v>
      </c>
      <c r="K30" s="12">
        <f t="shared" si="4"/>
        <v>119.475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>
        <v>24.0</v>
      </c>
      <c r="B31" s="16" t="s">
        <v>43</v>
      </c>
      <c r="C31" s="22">
        <v>1.0</v>
      </c>
      <c r="D31" s="24">
        <v>2.7</v>
      </c>
      <c r="E31" s="19">
        <f t="shared" si="5"/>
        <v>2.7</v>
      </c>
      <c r="F31" s="24">
        <v>12.19</v>
      </c>
      <c r="G31" s="24">
        <v>115.01</v>
      </c>
      <c r="H31" s="24">
        <v>84.61</v>
      </c>
      <c r="I31" s="12">
        <f t="shared" si="2"/>
        <v>32.913</v>
      </c>
      <c r="J31" s="12">
        <f t="shared" si="3"/>
        <v>310.527</v>
      </c>
      <c r="K31" s="12">
        <f t="shared" si="4"/>
        <v>228.447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>
        <v>25.0</v>
      </c>
      <c r="B32" s="23" t="s">
        <v>44</v>
      </c>
      <c r="C32" s="22">
        <v>1.0</v>
      </c>
      <c r="D32" s="24">
        <v>2.7</v>
      </c>
      <c r="E32" s="19">
        <f t="shared" si="5"/>
        <v>2.7</v>
      </c>
      <c r="F32" s="24">
        <v>39.84</v>
      </c>
      <c r="G32" s="24">
        <v>112.79</v>
      </c>
      <c r="H32" s="24">
        <v>54.05</v>
      </c>
      <c r="I32" s="12">
        <f t="shared" si="2"/>
        <v>107.568</v>
      </c>
      <c r="J32" s="12">
        <f t="shared" si="3"/>
        <v>304.533</v>
      </c>
      <c r="K32" s="12">
        <f t="shared" si="4"/>
        <v>145.935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>
        <v>26.0</v>
      </c>
      <c r="B33" s="16" t="s">
        <v>45</v>
      </c>
      <c r="C33" s="22">
        <v>1.0</v>
      </c>
      <c r="D33" s="24">
        <v>2.7</v>
      </c>
      <c r="E33" s="19">
        <f t="shared" si="5"/>
        <v>2.7</v>
      </c>
      <c r="F33" s="24">
        <v>54.72</v>
      </c>
      <c r="G33" s="24">
        <v>110.53</v>
      </c>
      <c r="H33" s="24">
        <v>14.65</v>
      </c>
      <c r="I33" s="12">
        <f t="shared" si="2"/>
        <v>147.744</v>
      </c>
      <c r="J33" s="12">
        <f t="shared" si="3"/>
        <v>298.431</v>
      </c>
      <c r="K33" s="12">
        <f t="shared" si="4"/>
        <v>39.555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8">
        <v>27.0</v>
      </c>
      <c r="B34" s="23" t="s">
        <v>46</v>
      </c>
      <c r="C34" s="22">
        <v>1.0</v>
      </c>
      <c r="D34" s="24">
        <v>2.7</v>
      </c>
      <c r="E34" s="19">
        <f t="shared" si="5"/>
        <v>2.7</v>
      </c>
      <c r="F34" s="24">
        <v>52.15</v>
      </c>
      <c r="G34" s="24">
        <v>108.26</v>
      </c>
      <c r="H34" s="24">
        <v>-27.57</v>
      </c>
      <c r="I34" s="12">
        <f t="shared" si="2"/>
        <v>140.805</v>
      </c>
      <c r="J34" s="12">
        <f t="shared" si="3"/>
        <v>292.302</v>
      </c>
      <c r="K34" s="12">
        <f t="shared" si="4"/>
        <v>-74.439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">
        <v>28.0</v>
      </c>
      <c r="B35" s="16" t="s">
        <v>47</v>
      </c>
      <c r="C35" s="22">
        <v>1.0</v>
      </c>
      <c r="D35" s="24">
        <v>2.7</v>
      </c>
      <c r="E35" s="19">
        <f t="shared" si="5"/>
        <v>2.7</v>
      </c>
      <c r="F35" s="24">
        <v>33.9</v>
      </c>
      <c r="G35" s="24">
        <v>106.04</v>
      </c>
      <c r="H35" s="24">
        <v>-64.69</v>
      </c>
      <c r="I35" s="12">
        <f t="shared" si="2"/>
        <v>91.53</v>
      </c>
      <c r="J35" s="12">
        <f t="shared" si="3"/>
        <v>286.308</v>
      </c>
      <c r="K35" s="12">
        <f t="shared" si="4"/>
        <v>-174.663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">
        <v>29.0</v>
      </c>
      <c r="B36" s="23" t="s">
        <v>48</v>
      </c>
      <c r="C36" s="22">
        <v>1.0</v>
      </c>
      <c r="D36" s="24">
        <v>2.7</v>
      </c>
      <c r="E36" s="19">
        <f t="shared" si="5"/>
        <v>2.7</v>
      </c>
      <c r="F36" s="24">
        <v>0.37</v>
      </c>
      <c r="G36" s="24">
        <v>103.74</v>
      </c>
      <c r="H36" s="24">
        <v>-92.09</v>
      </c>
      <c r="I36" s="12">
        <f t="shared" si="2"/>
        <v>0.999</v>
      </c>
      <c r="J36" s="12">
        <f t="shared" si="3"/>
        <v>280.098</v>
      </c>
      <c r="K36" s="12">
        <f t="shared" si="4"/>
        <v>-248.643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">
        <v>30.0</v>
      </c>
      <c r="B37" s="16" t="s">
        <v>49</v>
      </c>
      <c r="C37" s="22">
        <v>1.0</v>
      </c>
      <c r="D37" s="24">
        <v>2.7</v>
      </c>
      <c r="E37" s="19">
        <f t="shared" si="5"/>
        <v>2.7</v>
      </c>
      <c r="F37" s="24">
        <v>-40.83</v>
      </c>
      <c r="G37" s="24">
        <v>101.43</v>
      </c>
      <c r="H37" s="24">
        <v>-103.92</v>
      </c>
      <c r="I37" s="12">
        <f t="shared" si="2"/>
        <v>-110.241</v>
      </c>
      <c r="J37" s="12">
        <f t="shared" si="3"/>
        <v>273.861</v>
      </c>
      <c r="K37" s="12">
        <f t="shared" si="4"/>
        <v>-280.584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5">
        <v>31.0</v>
      </c>
      <c r="B38" s="23" t="s">
        <v>50</v>
      </c>
      <c r="C38" s="22">
        <v>1.0</v>
      </c>
      <c r="D38" s="24">
        <v>2.7</v>
      </c>
      <c r="E38" s="19">
        <f t="shared" si="5"/>
        <v>2.7</v>
      </c>
      <c r="F38" s="24">
        <v>-80.27</v>
      </c>
      <c r="G38" s="24">
        <v>99.36</v>
      </c>
      <c r="H38" s="24">
        <v>-105.19</v>
      </c>
      <c r="I38" s="12">
        <f t="shared" si="2"/>
        <v>-216.729</v>
      </c>
      <c r="J38" s="12">
        <f t="shared" si="3"/>
        <v>268.272</v>
      </c>
      <c r="K38" s="12">
        <f t="shared" si="4"/>
        <v>-284.013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5"/>
      <c r="B39" s="26" t="s">
        <v>51</v>
      </c>
      <c r="C39" s="25">
        <f t="shared" ref="C39:K39" si="6">SUM(C7:C38)</f>
        <v>31</v>
      </c>
      <c r="D39" s="27">
        <f t="shared" si="6"/>
        <v>1402.24</v>
      </c>
      <c r="E39" s="27">
        <f t="shared" si="6"/>
        <v>1402.24</v>
      </c>
      <c r="F39" s="27">
        <f t="shared" si="6"/>
        <v>-1325.02</v>
      </c>
      <c r="G39" s="27">
        <f t="shared" si="6"/>
        <v>3115.07</v>
      </c>
      <c r="H39" s="27">
        <f t="shared" si="6"/>
        <v>-274.11</v>
      </c>
      <c r="I39" s="27">
        <f t="shared" si="6"/>
        <v>-78107.7918</v>
      </c>
      <c r="J39" s="27">
        <f t="shared" si="6"/>
        <v>134117.4437</v>
      </c>
      <c r="K39" s="27">
        <f t="shared" si="6"/>
        <v>3291.1486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8" t="s">
        <v>52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29" t="s">
        <v>8</v>
      </c>
      <c r="C42" s="30">
        <f>E39</f>
        <v>1402.24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29" t="s">
        <v>53</v>
      </c>
      <c r="C43" s="31">
        <f>E39/1000</f>
        <v>1.40224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29" t="s">
        <v>54</v>
      </c>
      <c r="C44" s="32">
        <f>I39/E39</f>
        <v>-55.70215641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29" t="s">
        <v>55</v>
      </c>
      <c r="C45" s="32">
        <f>J39/E39</f>
        <v>95.64514184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29" t="s">
        <v>56</v>
      </c>
      <c r="C46" s="32">
        <f>K39/E39</f>
        <v>2.347065124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3" t="s">
        <v>57</v>
      </c>
      <c r="C49" s="3"/>
      <c r="D49" s="3"/>
      <c r="E49" s="3"/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7" t="s">
        <v>58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</sheetData>
  <mergeCells count="3">
    <mergeCell ref="A2:K2"/>
    <mergeCell ref="A3:K3"/>
    <mergeCell ref="A4:K4"/>
  </mergeCells>
  <printOptions/>
  <pageMargins bottom="1.0" footer="0.0" header="0.0" left="0.75" right="0.75" top="1.0"/>
  <pageSetup paperSize="9" orientation="portrait"/>
  <drawing r:id="rId1"/>
</worksheet>
</file>